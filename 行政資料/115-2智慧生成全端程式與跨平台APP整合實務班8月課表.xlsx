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03公務\00跨平台班課程\115.2跨平台APP班課程\"/>
    </mc:Choice>
  </mc:AlternateContent>
  <bookViews>
    <workbookView xWindow="28680" yWindow="-120" windowWidth="29040" windowHeight="17520"/>
  </bookViews>
  <sheets>
    <sheet name="115.8" sheetId="43" r:id="rId1"/>
  </sheets>
  <definedNames>
    <definedName name="_xlnm.Print_Area" localSheetId="0">'115.8'!$A$1:$R$58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1" i="43" l="1"/>
  <c r="G51" i="43"/>
  <c r="K50" i="43"/>
  <c r="G50" i="43"/>
  <c r="K49" i="43"/>
  <c r="G49" i="43"/>
  <c r="K48" i="43"/>
  <c r="G48" i="43"/>
  <c r="K47" i="43"/>
  <c r="G47" i="43"/>
  <c r="K46" i="43"/>
  <c r="G46" i="43"/>
  <c r="G45" i="43"/>
  <c r="K44" i="43"/>
  <c r="G44" i="43"/>
  <c r="K43" i="43"/>
  <c r="G43" i="43"/>
  <c r="G42" i="43"/>
  <c r="K41" i="43"/>
  <c r="G41" i="43"/>
  <c r="K40" i="43"/>
  <c r="G40" i="43"/>
</calcChain>
</file>

<file path=xl/sharedStrings.xml><?xml version="1.0" encoding="utf-8"?>
<sst xmlns="http://schemas.openxmlformats.org/spreadsheetml/2006/main" count="219" uniqueCount="125">
  <si>
    <t>五</t>
    <phoneticPr fontId="2" type="noConversion"/>
  </si>
  <si>
    <t>六</t>
    <phoneticPr fontId="2" type="noConversion"/>
  </si>
  <si>
    <t>日</t>
    <phoneticPr fontId="2" type="noConversion"/>
  </si>
  <si>
    <t>任課訓練師</t>
  </si>
  <si>
    <t>~</t>
  </si>
  <si>
    <t>上課時數</t>
    <phoneticPr fontId="2" type="noConversion"/>
  </si>
  <si>
    <t>課程名稱</t>
    <phoneticPr fontId="2" type="noConversion"/>
  </si>
  <si>
    <t>導師</t>
    <phoneticPr fontId="2" type="noConversion"/>
  </si>
  <si>
    <t>股長</t>
    <phoneticPr fontId="2" type="noConversion"/>
  </si>
  <si>
    <t xml:space="preserve"> 期  期</t>
    <phoneticPr fontId="2" type="noConversion"/>
  </si>
  <si>
    <t>節  次</t>
    <phoneticPr fontId="2" type="noConversion"/>
  </si>
  <si>
    <t>一</t>
    <phoneticPr fontId="2" type="noConversion"/>
  </si>
  <si>
    <t>二</t>
    <phoneticPr fontId="2" type="noConversion"/>
  </si>
  <si>
    <t>三</t>
    <phoneticPr fontId="2" type="noConversion"/>
  </si>
  <si>
    <t>四</t>
    <phoneticPr fontId="2" type="noConversion"/>
  </si>
  <si>
    <t>全月上課時數</t>
    <phoneticPr fontId="2" type="noConversion"/>
  </si>
  <si>
    <t>訓練師</t>
    <phoneticPr fontId="2" type="noConversion"/>
  </si>
  <si>
    <t>代碼</t>
    <phoneticPr fontId="2" type="noConversion"/>
  </si>
  <si>
    <t>全期上課課程</t>
    <phoneticPr fontId="2" type="noConversion"/>
  </si>
  <si>
    <t>累積訓練時數</t>
    <phoneticPr fontId="2" type="noConversion"/>
  </si>
  <si>
    <t>A</t>
    <phoneticPr fontId="2" type="noConversion"/>
  </si>
  <si>
    <t>M</t>
    <phoneticPr fontId="2" type="noConversion"/>
  </si>
  <si>
    <t>B</t>
    <phoneticPr fontId="2" type="noConversion"/>
  </si>
  <si>
    <t>N</t>
    <phoneticPr fontId="2" type="noConversion"/>
  </si>
  <si>
    <t>C</t>
    <phoneticPr fontId="2" type="noConversion"/>
  </si>
  <si>
    <t>O</t>
    <phoneticPr fontId="2" type="noConversion"/>
  </si>
  <si>
    <t>D</t>
    <phoneticPr fontId="2" type="noConversion"/>
  </si>
  <si>
    <t>P</t>
    <phoneticPr fontId="2" type="noConversion"/>
  </si>
  <si>
    <t>E</t>
    <phoneticPr fontId="2" type="noConversion"/>
  </si>
  <si>
    <t>Q</t>
    <phoneticPr fontId="2" type="noConversion"/>
  </si>
  <si>
    <t>F</t>
    <phoneticPr fontId="2" type="noConversion"/>
  </si>
  <si>
    <t>R</t>
    <phoneticPr fontId="2" type="noConversion"/>
  </si>
  <si>
    <t>G</t>
    <phoneticPr fontId="2" type="noConversion"/>
  </si>
  <si>
    <t>S</t>
    <phoneticPr fontId="2" type="noConversion"/>
  </si>
  <si>
    <t>H</t>
    <phoneticPr fontId="2" type="noConversion"/>
  </si>
  <si>
    <t>T</t>
    <phoneticPr fontId="2" type="noConversion"/>
  </si>
  <si>
    <t>I</t>
    <phoneticPr fontId="2" type="noConversion"/>
  </si>
  <si>
    <t>U</t>
    <phoneticPr fontId="2" type="noConversion"/>
  </si>
  <si>
    <t>J</t>
    <phoneticPr fontId="2" type="noConversion"/>
  </si>
  <si>
    <t>V</t>
    <phoneticPr fontId="2" type="noConversion"/>
  </si>
  <si>
    <t>K</t>
    <phoneticPr fontId="2" type="noConversion"/>
  </si>
  <si>
    <t>W</t>
    <phoneticPr fontId="2" type="noConversion"/>
  </si>
  <si>
    <t>L</t>
    <phoneticPr fontId="2" type="noConversion"/>
  </si>
  <si>
    <t>X</t>
    <phoneticPr fontId="2" type="noConversion"/>
  </si>
  <si>
    <r>
      <t>11</t>
    </r>
    <r>
      <rPr>
        <sz val="12"/>
        <rFont val="標楷體"/>
        <family val="4"/>
        <charset val="136"/>
      </rPr>
      <t>：</t>
    </r>
    <r>
      <rPr>
        <sz val="12"/>
        <rFont val="Times New Roman"/>
        <family val="1"/>
      </rPr>
      <t>10</t>
    </r>
    <phoneticPr fontId="2" type="noConversion"/>
  </si>
  <si>
    <r>
      <t>13</t>
    </r>
    <r>
      <rPr>
        <sz val="12"/>
        <rFont val="標楷體"/>
        <family val="4"/>
        <charset val="136"/>
      </rPr>
      <t>：</t>
    </r>
    <r>
      <rPr>
        <sz val="12"/>
        <rFont val="Times New Roman"/>
        <family val="1"/>
      </rPr>
      <t>50</t>
    </r>
    <phoneticPr fontId="2" type="noConversion"/>
  </si>
  <si>
    <t>陳明宏</t>
    <phoneticPr fontId="2" type="noConversion"/>
  </si>
  <si>
    <t>張鴻文</t>
    <phoneticPr fontId="2" type="noConversion"/>
  </si>
  <si>
    <t xml:space="preserve">    時</t>
    <phoneticPr fontId="2" type="noConversion"/>
  </si>
  <si>
    <t>日 星間</t>
    <phoneticPr fontId="2" type="noConversion"/>
  </si>
  <si>
    <t>徐世洲</t>
    <phoneticPr fontId="2" type="noConversion"/>
  </si>
  <si>
    <t>自辦訓練科</t>
    <phoneticPr fontId="2" type="noConversion"/>
  </si>
  <si>
    <t>簡勝輝</t>
    <phoneticPr fontId="2" type="noConversion"/>
  </si>
  <si>
    <t>黃維政</t>
    <phoneticPr fontId="2" type="noConversion"/>
  </si>
  <si>
    <t>梁偉敏</t>
    <phoneticPr fontId="2" type="noConversion"/>
  </si>
  <si>
    <t xml:space="preserve"> </t>
    <phoneticPr fontId="2" type="noConversion"/>
  </si>
  <si>
    <t>詹國忠</t>
    <phoneticPr fontId="2" type="noConversion"/>
  </si>
  <si>
    <t>特輔科</t>
    <phoneticPr fontId="2" type="noConversion"/>
  </si>
  <si>
    <t>ESG淨零碳排課程</t>
    <phoneticPr fontId="2" type="noConversion"/>
  </si>
  <si>
    <t>12/12</t>
    <phoneticPr fontId="2" type="noConversion"/>
  </si>
  <si>
    <t>4/4</t>
    <phoneticPr fontId="2" type="noConversion"/>
  </si>
  <si>
    <t>自辦科</t>
    <phoneticPr fontId="2" type="noConversion"/>
  </si>
  <si>
    <t>六</t>
    <phoneticPr fontId="2" type="noConversion"/>
  </si>
  <si>
    <t>一</t>
    <phoneticPr fontId="2" type="noConversion"/>
  </si>
  <si>
    <t>智慧生成數位影像與網站視覺應用</t>
    <phoneticPr fontId="2" type="noConversion"/>
  </si>
  <si>
    <t>前端網頁設計與網站開發</t>
    <phoneticPr fontId="2" type="noConversion"/>
  </si>
  <si>
    <t>戴雪蕙</t>
    <phoneticPr fontId="2" type="noConversion"/>
  </si>
  <si>
    <t>跨平台APP程式設計</t>
    <phoneticPr fontId="2" type="noConversion"/>
  </si>
  <si>
    <t>應用整合與專案實作</t>
    <phoneticPr fontId="2" type="noConversion"/>
  </si>
  <si>
    <r>
      <t>10</t>
    </r>
    <r>
      <rPr>
        <sz val="12"/>
        <rFont val="標楷體"/>
        <family val="4"/>
        <charset val="136"/>
      </rPr>
      <t>：</t>
    </r>
    <r>
      <rPr>
        <sz val="12"/>
        <rFont val="Times New Roman"/>
        <family val="1"/>
      </rPr>
      <t>10</t>
    </r>
    <phoneticPr fontId="2" type="noConversion"/>
  </si>
  <si>
    <r>
      <t>16</t>
    </r>
    <r>
      <rPr>
        <sz val="12"/>
        <rFont val="標楷體"/>
        <family val="4"/>
        <charset val="136"/>
      </rPr>
      <t>：</t>
    </r>
    <r>
      <rPr>
        <sz val="12"/>
        <rFont val="Times New Roman"/>
        <family val="1"/>
      </rPr>
      <t>30</t>
    </r>
    <phoneticPr fontId="2" type="noConversion"/>
  </si>
  <si>
    <r>
      <t>08</t>
    </r>
    <r>
      <rPr>
        <sz val="12"/>
        <rFont val="標楷體"/>
        <family val="4"/>
        <charset val="136"/>
      </rPr>
      <t>：</t>
    </r>
    <r>
      <rPr>
        <sz val="12"/>
        <rFont val="Times New Roman"/>
        <family val="1"/>
      </rPr>
      <t>30</t>
    </r>
    <phoneticPr fontId="2" type="noConversion"/>
  </si>
  <si>
    <r>
      <t>10</t>
    </r>
    <r>
      <rPr>
        <sz val="12"/>
        <rFont val="標楷體"/>
        <family val="4"/>
        <charset val="136"/>
      </rPr>
      <t>：</t>
    </r>
    <r>
      <rPr>
        <sz val="12"/>
        <rFont val="Times New Roman"/>
        <family val="1"/>
      </rPr>
      <t>20</t>
    </r>
    <phoneticPr fontId="2" type="noConversion"/>
  </si>
  <si>
    <r>
      <t>11</t>
    </r>
    <r>
      <rPr>
        <sz val="12"/>
        <rFont val="標楷體"/>
        <family val="4"/>
        <charset val="136"/>
      </rPr>
      <t>：</t>
    </r>
    <r>
      <rPr>
        <sz val="12"/>
        <rFont val="Times New Roman"/>
        <family val="1"/>
      </rPr>
      <t>10</t>
    </r>
    <phoneticPr fontId="2" type="noConversion"/>
  </si>
  <si>
    <r>
      <t>13</t>
    </r>
    <r>
      <rPr>
        <sz val="12"/>
        <rFont val="標楷體"/>
        <family val="4"/>
        <charset val="136"/>
      </rPr>
      <t>：</t>
    </r>
    <r>
      <rPr>
        <sz val="12"/>
        <rFont val="Times New Roman"/>
        <family val="1"/>
      </rPr>
      <t>00</t>
    </r>
    <phoneticPr fontId="2" type="noConversion"/>
  </si>
  <si>
    <r>
      <t>13</t>
    </r>
    <r>
      <rPr>
        <sz val="12"/>
        <rFont val="標楷體"/>
        <family val="4"/>
        <charset val="136"/>
      </rPr>
      <t>：</t>
    </r>
    <r>
      <rPr>
        <sz val="12"/>
        <rFont val="Times New Roman"/>
        <family val="1"/>
      </rPr>
      <t>50</t>
    </r>
    <phoneticPr fontId="2" type="noConversion"/>
  </si>
  <si>
    <r>
      <t>14</t>
    </r>
    <r>
      <rPr>
        <sz val="12"/>
        <rFont val="標楷體"/>
        <family val="4"/>
        <charset val="136"/>
      </rPr>
      <t>：</t>
    </r>
    <r>
      <rPr>
        <sz val="12"/>
        <rFont val="Times New Roman"/>
        <family val="1"/>
      </rPr>
      <t>50</t>
    </r>
    <phoneticPr fontId="2" type="noConversion"/>
  </si>
  <si>
    <r>
      <t>15</t>
    </r>
    <r>
      <rPr>
        <sz val="12"/>
        <rFont val="標楷體"/>
        <family val="4"/>
        <charset val="136"/>
      </rPr>
      <t>：</t>
    </r>
    <r>
      <rPr>
        <sz val="12"/>
        <rFont val="Times New Roman"/>
        <family val="1"/>
      </rPr>
      <t>40</t>
    </r>
    <phoneticPr fontId="2" type="noConversion"/>
  </si>
  <si>
    <r>
      <t>09</t>
    </r>
    <r>
      <rPr>
        <sz val="12"/>
        <rFont val="標楷體"/>
        <family val="4"/>
        <charset val="136"/>
      </rPr>
      <t>：</t>
    </r>
    <r>
      <rPr>
        <sz val="12"/>
        <rFont val="Times New Roman"/>
        <family val="1"/>
      </rPr>
      <t>20</t>
    </r>
    <phoneticPr fontId="2" type="noConversion"/>
  </si>
  <si>
    <r>
      <t>12</t>
    </r>
    <r>
      <rPr>
        <sz val="12"/>
        <rFont val="標楷體"/>
        <family val="4"/>
        <charset val="136"/>
      </rPr>
      <t>：</t>
    </r>
    <r>
      <rPr>
        <sz val="12"/>
        <rFont val="Times New Roman"/>
        <family val="1"/>
      </rPr>
      <t>00</t>
    </r>
    <phoneticPr fontId="2" type="noConversion"/>
  </si>
  <si>
    <r>
      <t>14</t>
    </r>
    <r>
      <rPr>
        <sz val="12"/>
        <rFont val="標楷體"/>
        <family val="4"/>
        <charset val="136"/>
      </rPr>
      <t>：</t>
    </r>
    <r>
      <rPr>
        <sz val="12"/>
        <rFont val="Times New Roman"/>
        <family val="1"/>
      </rPr>
      <t>40</t>
    </r>
    <phoneticPr fontId="2" type="noConversion"/>
  </si>
  <si>
    <t>資通訊科技(ICT)通識課程</t>
    <phoneticPr fontId="2" type="noConversion"/>
  </si>
  <si>
    <t>電腦網路與系統分析設計</t>
    <phoneticPr fontId="2" type="noConversion"/>
  </si>
  <si>
    <t>智慧生成數位影像與網站視覺應用</t>
    <phoneticPr fontId="2" type="noConversion"/>
  </si>
  <si>
    <t>PHP&amp;MySQL網頁資料庫程式設計</t>
    <phoneticPr fontId="2" type="noConversion"/>
  </si>
  <si>
    <t>4/86</t>
    <phoneticPr fontId="2" type="noConversion"/>
  </si>
  <si>
    <t>陳佳美</t>
    <phoneticPr fontId="2" type="noConversion"/>
  </si>
  <si>
    <t>不排課</t>
    <phoneticPr fontId="2" type="noConversion"/>
  </si>
  <si>
    <r>
      <t>勞動部勞動力發展署中彰投分署</t>
    </r>
    <r>
      <rPr>
        <sz val="14"/>
        <rFont val="Times New Roman"/>
        <family val="1"/>
      </rPr>
      <t xml:space="preserve">  115</t>
    </r>
    <r>
      <rPr>
        <sz val="14"/>
        <rFont val="標楷體"/>
        <family val="4"/>
        <charset val="136"/>
      </rPr>
      <t>年第</t>
    </r>
    <r>
      <rPr>
        <sz val="14"/>
        <rFont val="Times New Roman"/>
        <family val="1"/>
      </rPr>
      <t>2</t>
    </r>
    <r>
      <rPr>
        <sz val="14"/>
        <rFont val="標楷體"/>
        <family val="4"/>
        <charset val="136"/>
      </rPr>
      <t>期智慧生成全端程式與跨平台</t>
    </r>
    <r>
      <rPr>
        <sz val="14"/>
        <rFont val="Times New Roman"/>
        <family val="1"/>
      </rPr>
      <t>APP</t>
    </r>
    <r>
      <rPr>
        <sz val="14"/>
        <rFont val="標楷體"/>
        <family val="4"/>
        <charset val="136"/>
      </rPr>
      <t>整合實務班</t>
    </r>
    <r>
      <rPr>
        <sz val="14"/>
        <rFont val="Times New Roman"/>
        <family val="1"/>
      </rPr>
      <t xml:space="preserve">  8 </t>
    </r>
    <r>
      <rPr>
        <sz val="14"/>
        <rFont val="標楷體"/>
        <family val="4"/>
        <charset val="136"/>
      </rPr>
      <t>月份課程表</t>
    </r>
    <phoneticPr fontId="2" type="noConversion"/>
  </si>
  <si>
    <t>O</t>
    <phoneticPr fontId="2" type="noConversion"/>
  </si>
  <si>
    <t>報到</t>
  </si>
  <si>
    <t>特輔科業務</t>
    <phoneticPr fontId="2" type="noConversion"/>
  </si>
  <si>
    <t>生活津貼業務</t>
    <phoneticPr fontId="2" type="noConversion"/>
  </si>
  <si>
    <t>自辦科業務</t>
    <phoneticPr fontId="2" type="noConversion"/>
  </si>
  <si>
    <t>開訓典禮</t>
    <phoneticPr fontId="2" type="noConversion"/>
  </si>
  <si>
    <t>職業安全衛生</t>
    <phoneticPr fontId="2" type="noConversion"/>
  </si>
  <si>
    <t>I</t>
  </si>
  <si>
    <t>職業安全衛生</t>
    <phoneticPr fontId="2" type="noConversion"/>
  </si>
  <si>
    <t>M</t>
    <phoneticPr fontId="2" type="noConversion"/>
  </si>
  <si>
    <t>性別平等</t>
    <phoneticPr fontId="2" type="noConversion"/>
  </si>
  <si>
    <t>性別平等</t>
    <phoneticPr fontId="2" type="noConversion"/>
  </si>
  <si>
    <t>R</t>
    <phoneticPr fontId="2" type="noConversion"/>
  </si>
  <si>
    <t>前端網頁設計與網站開發</t>
    <phoneticPr fontId="2" type="noConversion"/>
  </si>
  <si>
    <t>J</t>
    <phoneticPr fontId="2" type="noConversion"/>
  </si>
  <si>
    <t>前端網頁設計與網站開發</t>
    <phoneticPr fontId="2" type="noConversion"/>
  </si>
  <si>
    <t>J</t>
    <phoneticPr fontId="2" type="noConversion"/>
  </si>
  <si>
    <t>J</t>
    <phoneticPr fontId="2" type="noConversion"/>
  </si>
  <si>
    <t>PHP&amp;MySQL網頁資料庫程式設計</t>
  </si>
  <si>
    <t>V</t>
    <phoneticPr fontId="2" type="noConversion"/>
  </si>
  <si>
    <t>V</t>
    <phoneticPr fontId="2" type="noConversion"/>
  </si>
  <si>
    <t>電腦網路與系統分析設計</t>
    <phoneticPr fontId="2" type="noConversion"/>
  </si>
  <si>
    <t>電腦網路與系統分析設計</t>
    <phoneticPr fontId="2" type="noConversion"/>
  </si>
  <si>
    <t>I</t>
    <phoneticPr fontId="2" type="noConversion"/>
  </si>
  <si>
    <t>資通訊科技(ICT)通識課程</t>
    <phoneticPr fontId="2" type="noConversion"/>
  </si>
  <si>
    <t>資通訊科技(ICT)通識課程</t>
    <phoneticPr fontId="2" type="noConversion"/>
  </si>
  <si>
    <t>資通訊科技(ICT)通識課程</t>
    <phoneticPr fontId="2" type="noConversion"/>
  </si>
  <si>
    <t>清掃</t>
    <phoneticPr fontId="2" type="noConversion"/>
  </si>
  <si>
    <t>其他</t>
    <phoneticPr fontId="2" type="noConversion"/>
  </si>
  <si>
    <t>0/99</t>
    <phoneticPr fontId="2" type="noConversion"/>
  </si>
  <si>
    <t>14/47</t>
    <phoneticPr fontId="2" type="noConversion"/>
  </si>
  <si>
    <t>30/190</t>
    <phoneticPr fontId="2" type="noConversion"/>
  </si>
  <si>
    <t>4/180</t>
    <phoneticPr fontId="2" type="noConversion"/>
  </si>
  <si>
    <t>8/98</t>
    <phoneticPr fontId="2" type="noConversion"/>
  </si>
  <si>
    <t>0/184</t>
    <phoneticPr fontId="2" type="noConversion"/>
  </si>
  <si>
    <t>訓練期間：115年8月17日  ~  115年2月2日       開訓學員人數：  23   人     在訓學員人數：  23   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</si>
</sst>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19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6"/>
      <name val="新細明體"/>
      <family val="1"/>
      <charset val="136"/>
    </font>
    <font>
      <sz val="14"/>
      <name val="新細明體"/>
      <family val="1"/>
      <charset val="136"/>
    </font>
    <font>
      <sz val="14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7"/>
      <name val="標楷體"/>
      <family val="4"/>
      <charset val="136"/>
    </font>
    <font>
      <sz val="12"/>
      <color indexed="8"/>
      <name val="新細明體"/>
      <family val="1"/>
      <charset val="136"/>
    </font>
    <font>
      <sz val="12"/>
      <color indexed="12"/>
      <name val="標楷體"/>
      <family val="4"/>
      <charset val="136"/>
    </font>
    <font>
      <sz val="12"/>
      <color indexed="8"/>
      <name val="標楷體"/>
      <family val="4"/>
      <charset val="136"/>
    </font>
    <font>
      <b/>
      <sz val="12"/>
      <name val="新細明體"/>
      <family val="1"/>
      <charset val="136"/>
    </font>
    <font>
      <sz val="11"/>
      <color indexed="12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textRotation="255"/>
    </xf>
    <xf numFmtId="0" fontId="6" fillId="0" borderId="0" xfId="0" applyFont="1"/>
    <xf numFmtId="0" fontId="12" fillId="0" borderId="0" xfId="0" applyFont="1"/>
    <xf numFmtId="0" fontId="9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0" fillId="0" borderId="5" xfId="0" applyBorder="1"/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5" fillId="0" borderId="0" xfId="0" applyFont="1"/>
    <xf numFmtId="176" fontId="0" fillId="0" borderId="0" xfId="1" applyNumberFormat="1" applyFont="1"/>
    <xf numFmtId="0" fontId="17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shrinkToFit="1"/>
    </xf>
    <xf numFmtId="0" fontId="9" fillId="2" borderId="6" xfId="0" applyFont="1" applyFill="1" applyBorder="1" applyAlignment="1">
      <alignment horizontal="center" vertical="center" shrinkToFit="1"/>
    </xf>
    <xf numFmtId="0" fontId="9" fillId="2" borderId="7" xfId="0" applyFont="1" applyFill="1" applyBorder="1" applyAlignment="1">
      <alignment horizontal="center" vertical="center" shrinkToFit="1"/>
    </xf>
    <xf numFmtId="0" fontId="9" fillId="2" borderId="8" xfId="0" applyFont="1" applyFill="1" applyBorder="1" applyAlignment="1">
      <alignment horizontal="center" vertical="center" shrinkToFit="1"/>
    </xf>
    <xf numFmtId="0" fontId="13" fillId="0" borderId="6" xfId="0" applyFont="1" applyBorder="1" applyAlignment="1">
      <alignment horizontal="center" vertical="center" shrinkToFit="1"/>
    </xf>
    <xf numFmtId="0" fontId="13" fillId="0" borderId="7" xfId="0" applyFont="1" applyBorder="1" applyAlignment="1">
      <alignment horizontal="center" vertical="center" shrinkToFit="1"/>
    </xf>
    <xf numFmtId="0" fontId="13" fillId="0" borderId="8" xfId="0" applyFont="1" applyBorder="1" applyAlignment="1">
      <alignment horizontal="center" vertical="center" shrinkToFit="1"/>
    </xf>
    <xf numFmtId="0" fontId="16" fillId="0" borderId="6" xfId="0" applyFont="1" applyBorder="1" applyAlignment="1">
      <alignment horizontal="center" vertical="center" shrinkToFit="1"/>
    </xf>
    <xf numFmtId="0" fontId="16" fillId="0" borderId="7" xfId="0" applyFont="1" applyBorder="1" applyAlignment="1">
      <alignment horizontal="center" vertical="center" shrinkToFit="1"/>
    </xf>
    <xf numFmtId="0" fontId="16" fillId="0" borderId="8" xfId="0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shrinkToFit="1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shrinkToFit="1"/>
    </xf>
    <xf numFmtId="0" fontId="9" fillId="0" borderId="8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6" xfId="0" quotePrefix="1" applyFont="1" applyBorder="1" applyAlignment="1">
      <alignment horizontal="center" vertical="center"/>
    </xf>
    <xf numFmtId="0" fontId="9" fillId="0" borderId="8" xfId="0" quotePrefix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textRotation="255"/>
    </xf>
    <xf numFmtId="0" fontId="9" fillId="0" borderId="3" xfId="0" applyFont="1" applyBorder="1" applyAlignment="1">
      <alignment horizontal="center" vertical="center" textRotation="255"/>
    </xf>
    <xf numFmtId="0" fontId="9" fillId="0" borderId="4" xfId="0" applyFont="1" applyBorder="1" applyAlignment="1">
      <alignment horizontal="center" vertical="center" textRotation="255"/>
    </xf>
    <xf numFmtId="0" fontId="11" fillId="0" borderId="2" xfId="0" applyFont="1" applyBorder="1" applyAlignment="1">
      <alignment horizontal="center" vertical="center" textRotation="255"/>
    </xf>
    <xf numFmtId="0" fontId="11" fillId="0" borderId="3" xfId="0" applyFont="1" applyBorder="1" applyAlignment="1">
      <alignment horizontal="center" vertical="center" textRotation="255"/>
    </xf>
    <xf numFmtId="0" fontId="11" fillId="0" borderId="4" xfId="0" applyFont="1" applyBorder="1" applyAlignment="1">
      <alignment horizontal="center" vertical="center" textRotation="255"/>
    </xf>
    <xf numFmtId="0" fontId="14" fillId="0" borderId="5" xfId="0" applyFont="1" applyBorder="1"/>
    <xf numFmtId="0" fontId="14" fillId="0" borderId="12" xfId="0" applyFont="1" applyBorder="1"/>
    <xf numFmtId="0" fontId="14" fillId="0" borderId="13" xfId="0" applyFont="1" applyBorder="1"/>
    <xf numFmtId="0" fontId="14" fillId="0" borderId="15" xfId="0" applyFont="1" applyBorder="1"/>
    <xf numFmtId="0" fontId="14" fillId="0" borderId="9" xfId="0" applyFont="1" applyBorder="1"/>
    <xf numFmtId="0" fontId="14" fillId="0" borderId="11" xfId="0" applyFont="1" applyBorder="1"/>
    <xf numFmtId="49" fontId="11" fillId="0" borderId="2" xfId="0" applyNumberFormat="1" applyFont="1" applyBorder="1" applyAlignment="1">
      <alignment horizontal="center" vertical="center" textRotation="255"/>
    </xf>
    <xf numFmtId="49" fontId="11" fillId="0" borderId="3" xfId="0" applyNumberFormat="1" applyFont="1" applyBorder="1" applyAlignment="1">
      <alignment horizontal="center" vertical="center" textRotation="255"/>
    </xf>
    <xf numFmtId="49" fontId="11" fillId="0" borderId="4" xfId="0" applyNumberFormat="1" applyFont="1" applyBorder="1" applyAlignment="1">
      <alignment horizontal="center" vertical="center" textRotation="255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textRotation="255"/>
    </xf>
  </cellXfs>
  <cellStyles count="2">
    <cellStyle name="一般" xfId="0" builtinId="0"/>
    <cellStyle name="百分比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1"/>
  <sheetViews>
    <sheetView tabSelected="1" view="pageBreakPreview" zoomScaleNormal="70" zoomScaleSheetLayoutView="100" workbookViewId="0">
      <selection activeCell="A2" sqref="A2:R2"/>
    </sheetView>
  </sheetViews>
  <sheetFormatPr defaultColWidth="8.875" defaultRowHeight="16.5"/>
  <cols>
    <col min="1" max="2" width="4" style="4" bestFit="1" customWidth="1"/>
    <col min="3" max="3" width="9.875" customWidth="1"/>
    <col min="4" max="4" width="3.375" customWidth="1"/>
    <col min="5" max="5" width="9.875" customWidth="1"/>
    <col min="6" max="6" width="3.375" customWidth="1"/>
    <col min="7" max="7" width="9.875" customWidth="1"/>
    <col min="8" max="8" width="3.375" customWidth="1"/>
    <col min="9" max="9" width="9.875" customWidth="1"/>
    <col min="10" max="10" width="3.375" customWidth="1"/>
    <col min="11" max="11" width="9.875" customWidth="1"/>
    <col min="12" max="12" width="3.375" customWidth="1"/>
    <col min="13" max="13" width="9.875" customWidth="1"/>
    <col min="14" max="14" width="3.375" customWidth="1"/>
    <col min="15" max="15" width="9.875" customWidth="1"/>
    <col min="16" max="16" width="3.375" customWidth="1"/>
    <col min="17" max="17" width="9.875" customWidth="1"/>
    <col min="18" max="18" width="3.375" customWidth="1"/>
    <col min="19" max="19" width="3.125" customWidth="1"/>
    <col min="20" max="24" width="4.625" customWidth="1"/>
    <col min="25" max="25" width="6.625" bestFit="1" customWidth="1"/>
    <col min="26" max="51" width="4.625" customWidth="1"/>
  </cols>
  <sheetData>
    <row r="1" spans="1:19" ht="21.75" customHeight="1">
      <c r="A1" s="65" t="s">
        <v>88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spans="1:19">
      <c r="A2" s="66" t="s">
        <v>124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  <row r="3" spans="1:19" ht="7.5" customHeight="1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</row>
    <row r="4" spans="1:19" ht="19.5">
      <c r="A4" s="68" t="s">
        <v>10</v>
      </c>
      <c r="B4" s="69"/>
      <c r="C4" s="35">
        <v>1</v>
      </c>
      <c r="D4" s="36"/>
      <c r="E4" s="35">
        <v>2</v>
      </c>
      <c r="F4" s="36"/>
      <c r="G4" s="35">
        <v>3</v>
      </c>
      <c r="H4" s="36"/>
      <c r="I4" s="35">
        <v>4</v>
      </c>
      <c r="J4" s="36"/>
      <c r="K4" s="35">
        <v>5</v>
      </c>
      <c r="L4" s="36"/>
      <c r="M4" s="35">
        <v>6</v>
      </c>
      <c r="N4" s="36"/>
      <c r="O4" s="35">
        <v>7</v>
      </c>
      <c r="P4" s="36"/>
      <c r="Q4" s="35">
        <v>8</v>
      </c>
      <c r="R4" s="36"/>
      <c r="S4" s="1"/>
    </row>
    <row r="5" spans="1:19" ht="16.5" customHeight="1">
      <c r="A5" s="60" t="s">
        <v>48</v>
      </c>
      <c r="B5" s="61"/>
      <c r="C5" s="6" t="s">
        <v>71</v>
      </c>
      <c r="D5" s="62" t="s">
        <v>3</v>
      </c>
      <c r="E5" s="6" t="s">
        <v>78</v>
      </c>
      <c r="F5" s="62" t="s">
        <v>3</v>
      </c>
      <c r="G5" s="6" t="s">
        <v>72</v>
      </c>
      <c r="H5" s="62" t="s">
        <v>3</v>
      </c>
      <c r="I5" s="6" t="s">
        <v>73</v>
      </c>
      <c r="J5" s="62" t="s">
        <v>3</v>
      </c>
      <c r="K5" s="6" t="s">
        <v>74</v>
      </c>
      <c r="L5" s="62" t="s">
        <v>3</v>
      </c>
      <c r="M5" s="6" t="s">
        <v>75</v>
      </c>
      <c r="N5" s="62" t="s">
        <v>3</v>
      </c>
      <c r="O5" s="6" t="s">
        <v>76</v>
      </c>
      <c r="P5" s="62" t="s">
        <v>3</v>
      </c>
      <c r="Q5" s="6" t="s">
        <v>77</v>
      </c>
      <c r="R5" s="53" t="s">
        <v>3</v>
      </c>
      <c r="S5" s="2"/>
    </row>
    <row r="6" spans="1:19">
      <c r="A6" s="56" t="s">
        <v>49</v>
      </c>
      <c r="B6" s="57"/>
      <c r="C6" s="7" t="s">
        <v>4</v>
      </c>
      <c r="D6" s="63"/>
      <c r="E6" s="7" t="s">
        <v>4</v>
      </c>
      <c r="F6" s="63"/>
      <c r="G6" s="7" t="s">
        <v>4</v>
      </c>
      <c r="H6" s="63"/>
      <c r="I6" s="7" t="s">
        <v>4</v>
      </c>
      <c r="J6" s="63"/>
      <c r="K6" s="7" t="s">
        <v>4</v>
      </c>
      <c r="L6" s="63"/>
      <c r="M6" s="7" t="s">
        <v>4</v>
      </c>
      <c r="N6" s="63"/>
      <c r="O6" s="7" t="s">
        <v>4</v>
      </c>
      <c r="P6" s="63"/>
      <c r="Q6" s="7" t="s">
        <v>4</v>
      </c>
      <c r="R6" s="54"/>
      <c r="S6" s="2"/>
    </row>
    <row r="7" spans="1:19">
      <c r="A7" s="58" t="s">
        <v>9</v>
      </c>
      <c r="B7" s="59"/>
      <c r="C7" s="8" t="s">
        <v>78</v>
      </c>
      <c r="D7" s="64"/>
      <c r="E7" s="8" t="s">
        <v>69</v>
      </c>
      <c r="F7" s="64"/>
      <c r="G7" s="8" t="s">
        <v>44</v>
      </c>
      <c r="H7" s="64"/>
      <c r="I7" s="8" t="s">
        <v>79</v>
      </c>
      <c r="J7" s="64"/>
      <c r="K7" s="8" t="s">
        <v>45</v>
      </c>
      <c r="L7" s="64"/>
      <c r="M7" s="8" t="s">
        <v>80</v>
      </c>
      <c r="N7" s="64"/>
      <c r="O7" s="8" t="s">
        <v>77</v>
      </c>
      <c r="P7" s="64"/>
      <c r="Q7" s="8" t="s">
        <v>70</v>
      </c>
      <c r="R7" s="55"/>
      <c r="S7" s="2"/>
    </row>
    <row r="8" spans="1:19" ht="20.100000000000001" customHeight="1">
      <c r="A8" s="14">
        <v>1</v>
      </c>
      <c r="B8" s="14" t="s">
        <v>1</v>
      </c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1"/>
    </row>
    <row r="9" spans="1:19" ht="20.100000000000001" customHeight="1">
      <c r="A9" s="14">
        <v>2</v>
      </c>
      <c r="B9" s="14" t="s">
        <v>2</v>
      </c>
      <c r="C9" s="19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1"/>
    </row>
    <row r="10" spans="1:19" ht="20.100000000000001" customHeight="1">
      <c r="A10" s="16">
        <v>3</v>
      </c>
      <c r="B10" s="16" t="s">
        <v>11</v>
      </c>
      <c r="C10" s="22"/>
      <c r="D10" s="23"/>
      <c r="E10" s="24"/>
      <c r="F10" s="18"/>
      <c r="G10" s="22"/>
      <c r="H10" s="23"/>
      <c r="I10" s="24"/>
      <c r="J10" s="18"/>
      <c r="K10" s="22"/>
      <c r="L10" s="23"/>
      <c r="M10" s="24"/>
      <c r="N10" s="18"/>
      <c r="O10" s="22"/>
      <c r="P10" s="23"/>
      <c r="Q10" s="24"/>
      <c r="R10" s="18"/>
    </row>
    <row r="11" spans="1:19" ht="20.100000000000001" customHeight="1">
      <c r="A11" s="16">
        <v>4</v>
      </c>
      <c r="B11" s="16" t="s">
        <v>12</v>
      </c>
      <c r="C11" s="22"/>
      <c r="D11" s="23"/>
      <c r="E11" s="24"/>
      <c r="F11" s="18"/>
      <c r="G11" s="22"/>
      <c r="H11" s="23"/>
      <c r="I11" s="24"/>
      <c r="J11" s="18"/>
      <c r="K11" s="22"/>
      <c r="L11" s="23"/>
      <c r="M11" s="24"/>
      <c r="N11" s="18"/>
      <c r="O11" s="22"/>
      <c r="P11" s="23"/>
      <c r="Q11" s="24"/>
      <c r="R11" s="18"/>
    </row>
    <row r="12" spans="1:19" ht="20.100000000000001" customHeight="1">
      <c r="A12" s="16">
        <v>5</v>
      </c>
      <c r="B12" s="16" t="s">
        <v>13</v>
      </c>
      <c r="C12" s="22"/>
      <c r="D12" s="23"/>
      <c r="E12" s="24"/>
      <c r="F12" s="18"/>
      <c r="G12" s="22"/>
      <c r="H12" s="23"/>
      <c r="I12" s="24"/>
      <c r="J12" s="18"/>
      <c r="K12" s="22"/>
      <c r="L12" s="23"/>
      <c r="M12" s="24"/>
      <c r="N12" s="18"/>
      <c r="O12" s="22"/>
      <c r="P12" s="23"/>
      <c r="Q12" s="24"/>
      <c r="R12" s="18"/>
    </row>
    <row r="13" spans="1:19" ht="20.100000000000001" customHeight="1">
      <c r="A13" s="16">
        <v>6</v>
      </c>
      <c r="B13" s="16" t="s">
        <v>14</v>
      </c>
      <c r="C13" s="22"/>
      <c r="D13" s="23"/>
      <c r="E13" s="24"/>
      <c r="F13" s="15"/>
      <c r="G13" s="22"/>
      <c r="H13" s="23"/>
      <c r="I13" s="24"/>
      <c r="J13" s="15"/>
      <c r="K13" s="22"/>
      <c r="L13" s="23"/>
      <c r="M13" s="24"/>
      <c r="N13" s="15"/>
      <c r="O13" s="22"/>
      <c r="P13" s="23"/>
      <c r="Q13" s="24"/>
      <c r="R13" s="15"/>
    </row>
    <row r="14" spans="1:19" ht="20.100000000000001" customHeight="1">
      <c r="A14" s="16">
        <v>7</v>
      </c>
      <c r="B14" s="16" t="s">
        <v>0</v>
      </c>
      <c r="C14" s="29"/>
      <c r="D14" s="30"/>
      <c r="E14" s="31"/>
      <c r="F14" s="15"/>
      <c r="G14" s="29"/>
      <c r="H14" s="30"/>
      <c r="I14" s="31"/>
      <c r="J14" s="15"/>
      <c r="K14" s="29"/>
      <c r="L14" s="30"/>
      <c r="M14" s="31"/>
      <c r="N14" s="15"/>
      <c r="O14" s="29"/>
      <c r="P14" s="30"/>
      <c r="Q14" s="31"/>
      <c r="R14" s="15"/>
    </row>
    <row r="15" spans="1:19" ht="20.100000000000001" customHeight="1">
      <c r="A15" s="14">
        <v>8</v>
      </c>
      <c r="B15" s="14" t="s">
        <v>1</v>
      </c>
      <c r="C15" s="19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1"/>
    </row>
    <row r="16" spans="1:19" ht="20.100000000000001" customHeight="1">
      <c r="A16" s="14">
        <v>9</v>
      </c>
      <c r="B16" s="14" t="s">
        <v>2</v>
      </c>
      <c r="C16" s="19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1"/>
    </row>
    <row r="17" spans="1:24" ht="20.100000000000001" customHeight="1">
      <c r="A17" s="16">
        <v>10</v>
      </c>
      <c r="B17" s="16" t="s">
        <v>11</v>
      </c>
      <c r="C17" s="22"/>
      <c r="D17" s="23"/>
      <c r="E17" s="24"/>
      <c r="F17" s="18"/>
      <c r="G17" s="22"/>
      <c r="H17" s="23"/>
      <c r="I17" s="24"/>
      <c r="J17" s="18"/>
      <c r="K17" s="22"/>
      <c r="L17" s="23"/>
      <c r="M17" s="24"/>
      <c r="N17" s="18"/>
      <c r="O17" s="22"/>
      <c r="P17" s="23"/>
      <c r="Q17" s="24"/>
      <c r="R17" s="18"/>
    </row>
    <row r="18" spans="1:24" ht="20.100000000000001" customHeight="1">
      <c r="A18" s="16">
        <v>11</v>
      </c>
      <c r="B18" s="16" t="s">
        <v>12</v>
      </c>
      <c r="C18" s="22"/>
      <c r="D18" s="23"/>
      <c r="E18" s="24"/>
      <c r="F18" s="18"/>
      <c r="G18" s="22"/>
      <c r="H18" s="23"/>
      <c r="I18" s="24"/>
      <c r="J18" s="18"/>
      <c r="K18" s="22"/>
      <c r="L18" s="23"/>
      <c r="M18" s="24"/>
      <c r="N18" s="18"/>
      <c r="O18" s="22"/>
      <c r="P18" s="23"/>
      <c r="Q18" s="24"/>
      <c r="R18" s="18"/>
    </row>
    <row r="19" spans="1:24" ht="20.100000000000001" customHeight="1">
      <c r="A19" s="16">
        <v>12</v>
      </c>
      <c r="B19" s="16" t="s">
        <v>13</v>
      </c>
      <c r="C19" s="22"/>
      <c r="D19" s="23"/>
      <c r="E19" s="24"/>
      <c r="F19" s="18"/>
      <c r="G19" s="22"/>
      <c r="H19" s="23"/>
      <c r="I19" s="24"/>
      <c r="J19" s="18"/>
      <c r="K19" s="22"/>
      <c r="L19" s="23"/>
      <c r="M19" s="24"/>
      <c r="N19" s="18"/>
      <c r="O19" s="22"/>
      <c r="P19" s="23"/>
      <c r="Q19" s="24"/>
      <c r="R19" s="18"/>
      <c r="S19" s="9"/>
    </row>
    <row r="20" spans="1:24" ht="20.100000000000001" customHeight="1">
      <c r="A20" s="16">
        <v>13</v>
      </c>
      <c r="B20" s="16" t="s">
        <v>14</v>
      </c>
      <c r="C20" s="29"/>
      <c r="D20" s="30"/>
      <c r="E20" s="31"/>
      <c r="F20" s="15"/>
      <c r="G20" s="29"/>
      <c r="H20" s="30"/>
      <c r="I20" s="31"/>
      <c r="J20" s="15"/>
      <c r="K20" s="29"/>
      <c r="L20" s="30"/>
      <c r="M20" s="31"/>
      <c r="N20" s="15"/>
      <c r="O20" s="29"/>
      <c r="P20" s="30"/>
      <c r="Q20" s="31"/>
      <c r="R20" s="15"/>
      <c r="S20" s="9"/>
    </row>
    <row r="21" spans="1:24" ht="20.100000000000001" customHeight="1">
      <c r="A21" s="16">
        <v>14</v>
      </c>
      <c r="B21" s="16" t="s">
        <v>0</v>
      </c>
      <c r="C21" s="22"/>
      <c r="D21" s="23"/>
      <c r="E21" s="24"/>
      <c r="F21" s="18"/>
      <c r="G21" s="22"/>
      <c r="H21" s="23"/>
      <c r="I21" s="24"/>
      <c r="J21" s="18"/>
      <c r="K21" s="22"/>
      <c r="L21" s="23"/>
      <c r="M21" s="24"/>
      <c r="N21" s="18"/>
      <c r="O21" s="22"/>
      <c r="P21" s="23"/>
      <c r="Q21" s="24"/>
      <c r="R21" s="18"/>
      <c r="S21" s="9"/>
    </row>
    <row r="22" spans="1:24" ht="20.100000000000001" customHeight="1">
      <c r="A22" s="14">
        <v>15</v>
      </c>
      <c r="B22" s="14" t="s">
        <v>1</v>
      </c>
      <c r="C22" s="19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1"/>
      <c r="S22" s="9"/>
    </row>
    <row r="23" spans="1:24" ht="20.100000000000001" customHeight="1">
      <c r="A23" s="14">
        <v>16</v>
      </c>
      <c r="B23" s="14" t="s">
        <v>2</v>
      </c>
      <c r="C23" s="19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1"/>
      <c r="S23" s="9"/>
    </row>
    <row r="24" spans="1:24" ht="20.100000000000001" customHeight="1">
      <c r="A24" s="16">
        <v>17</v>
      </c>
      <c r="B24" s="16" t="s">
        <v>11</v>
      </c>
      <c r="C24" s="22" t="s">
        <v>90</v>
      </c>
      <c r="D24" s="23"/>
      <c r="E24" s="23"/>
      <c r="F24" s="23"/>
      <c r="G24" s="23"/>
      <c r="H24" s="23"/>
      <c r="I24" s="24"/>
      <c r="J24" s="18"/>
      <c r="K24" s="18" t="s">
        <v>91</v>
      </c>
      <c r="L24" s="18" t="s">
        <v>31</v>
      </c>
      <c r="M24" s="18" t="s">
        <v>92</v>
      </c>
      <c r="N24" s="18" t="s">
        <v>33</v>
      </c>
      <c r="O24" s="18" t="s">
        <v>93</v>
      </c>
      <c r="P24" s="18" t="s">
        <v>33</v>
      </c>
      <c r="Q24" s="18" t="s">
        <v>94</v>
      </c>
      <c r="R24" s="18" t="s">
        <v>89</v>
      </c>
      <c r="S24" s="9"/>
    </row>
    <row r="25" spans="1:24" ht="20.100000000000001" customHeight="1">
      <c r="A25" s="16">
        <v>18</v>
      </c>
      <c r="B25" s="16" t="s">
        <v>12</v>
      </c>
      <c r="C25" s="22" t="s">
        <v>95</v>
      </c>
      <c r="D25" s="23"/>
      <c r="E25" s="24"/>
      <c r="F25" s="18" t="s">
        <v>96</v>
      </c>
      <c r="G25" s="22" t="s">
        <v>97</v>
      </c>
      <c r="H25" s="23"/>
      <c r="I25" s="24"/>
      <c r="J25" s="18" t="s">
        <v>98</v>
      </c>
      <c r="K25" s="25" t="s">
        <v>110</v>
      </c>
      <c r="L25" s="26"/>
      <c r="M25" s="27"/>
      <c r="N25" s="18" t="s">
        <v>96</v>
      </c>
      <c r="O25" s="25" t="s">
        <v>111</v>
      </c>
      <c r="P25" s="26"/>
      <c r="Q25" s="27"/>
      <c r="R25" s="18" t="s">
        <v>96</v>
      </c>
      <c r="S25" s="9"/>
      <c r="X25" t="s">
        <v>55</v>
      </c>
    </row>
    <row r="26" spans="1:24" ht="20.100000000000001" customHeight="1">
      <c r="A26" s="16">
        <v>19</v>
      </c>
      <c r="B26" s="16" t="s">
        <v>13</v>
      </c>
      <c r="C26" s="22" t="s">
        <v>104</v>
      </c>
      <c r="D26" s="23"/>
      <c r="E26" s="24"/>
      <c r="F26" s="18" t="s">
        <v>96</v>
      </c>
      <c r="G26" s="22" t="s">
        <v>104</v>
      </c>
      <c r="H26" s="23"/>
      <c r="I26" s="24"/>
      <c r="J26" s="18" t="s">
        <v>96</v>
      </c>
      <c r="K26" s="22" t="s">
        <v>104</v>
      </c>
      <c r="L26" s="23"/>
      <c r="M26" s="24"/>
      <c r="N26" s="18" t="s">
        <v>96</v>
      </c>
      <c r="O26" s="22" t="s">
        <v>104</v>
      </c>
      <c r="P26" s="23"/>
      <c r="Q26" s="24"/>
      <c r="R26" s="18" t="s">
        <v>96</v>
      </c>
      <c r="S26" s="9"/>
    </row>
    <row r="27" spans="1:24" ht="20.100000000000001" customHeight="1">
      <c r="A27" s="16">
        <v>20</v>
      </c>
      <c r="B27" s="16" t="s">
        <v>14</v>
      </c>
      <c r="C27" s="22" t="s">
        <v>113</v>
      </c>
      <c r="D27" s="23"/>
      <c r="E27" s="24"/>
      <c r="F27" s="18" t="s">
        <v>96</v>
      </c>
      <c r="G27" s="22" t="s">
        <v>114</v>
      </c>
      <c r="H27" s="23"/>
      <c r="I27" s="24"/>
      <c r="J27" s="18" t="s">
        <v>96</v>
      </c>
      <c r="K27" s="22" t="s">
        <v>115</v>
      </c>
      <c r="L27" s="23"/>
      <c r="M27" s="24"/>
      <c r="N27" s="18" t="s">
        <v>96</v>
      </c>
      <c r="O27" s="22" t="s">
        <v>113</v>
      </c>
      <c r="P27" s="23"/>
      <c r="Q27" s="24"/>
      <c r="R27" s="18" t="s">
        <v>96</v>
      </c>
      <c r="S27" s="9"/>
    </row>
    <row r="28" spans="1:24" ht="20.100000000000001" customHeight="1">
      <c r="A28" s="16">
        <v>21</v>
      </c>
      <c r="B28" s="16" t="s">
        <v>0</v>
      </c>
      <c r="C28" s="22" t="s">
        <v>107</v>
      </c>
      <c r="D28" s="23"/>
      <c r="E28" s="24"/>
      <c r="F28" s="18" t="s">
        <v>108</v>
      </c>
      <c r="G28" s="22" t="s">
        <v>107</v>
      </c>
      <c r="H28" s="23"/>
      <c r="I28" s="24"/>
      <c r="J28" s="18" t="s">
        <v>108</v>
      </c>
      <c r="K28" s="22" t="s">
        <v>107</v>
      </c>
      <c r="L28" s="23"/>
      <c r="M28" s="24"/>
      <c r="N28" s="18" t="s">
        <v>109</v>
      </c>
      <c r="O28" s="22" t="s">
        <v>107</v>
      </c>
      <c r="P28" s="23"/>
      <c r="Q28" s="24"/>
      <c r="R28" s="18" t="s">
        <v>109</v>
      </c>
      <c r="S28" s="9"/>
    </row>
    <row r="29" spans="1:24" ht="20.100000000000001" customHeight="1">
      <c r="A29" s="14">
        <v>22</v>
      </c>
      <c r="B29" s="14" t="s">
        <v>1</v>
      </c>
      <c r="C29" s="19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1"/>
      <c r="S29" s="9"/>
    </row>
    <row r="30" spans="1:24" ht="20.100000000000001" customHeight="1">
      <c r="A30" s="14">
        <v>23</v>
      </c>
      <c r="B30" s="14" t="s">
        <v>2</v>
      </c>
      <c r="C30" s="19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1"/>
      <c r="S30" s="9"/>
    </row>
    <row r="31" spans="1:24" ht="20.100000000000001" customHeight="1">
      <c r="A31" s="16">
        <v>24</v>
      </c>
      <c r="B31" s="16" t="s">
        <v>11</v>
      </c>
      <c r="C31" s="22" t="s">
        <v>102</v>
      </c>
      <c r="D31" s="23"/>
      <c r="E31" s="24"/>
      <c r="F31" s="15" t="s">
        <v>103</v>
      </c>
      <c r="G31" s="22" t="s">
        <v>104</v>
      </c>
      <c r="H31" s="23"/>
      <c r="I31" s="24"/>
      <c r="J31" s="15" t="s">
        <v>105</v>
      </c>
      <c r="K31" s="22" t="s">
        <v>102</v>
      </c>
      <c r="L31" s="23"/>
      <c r="M31" s="24"/>
      <c r="N31" s="15" t="s">
        <v>105</v>
      </c>
      <c r="O31" s="22" t="s">
        <v>102</v>
      </c>
      <c r="P31" s="23"/>
      <c r="Q31" s="24"/>
      <c r="R31" s="15" t="s">
        <v>105</v>
      </c>
      <c r="S31" s="9"/>
    </row>
    <row r="32" spans="1:24" ht="20.100000000000001" customHeight="1">
      <c r="A32" s="16">
        <v>25</v>
      </c>
      <c r="B32" s="16" t="s">
        <v>12</v>
      </c>
      <c r="C32" s="22" t="s">
        <v>81</v>
      </c>
      <c r="D32" s="23"/>
      <c r="E32" s="24"/>
      <c r="F32" s="18" t="s">
        <v>96</v>
      </c>
      <c r="G32" s="22" t="s">
        <v>81</v>
      </c>
      <c r="H32" s="23"/>
      <c r="I32" s="24"/>
      <c r="J32" s="18" t="s">
        <v>96</v>
      </c>
      <c r="K32" s="25" t="s">
        <v>58</v>
      </c>
      <c r="L32" s="26"/>
      <c r="M32" s="27"/>
      <c r="N32" s="18" t="s">
        <v>96</v>
      </c>
      <c r="O32" s="25" t="s">
        <v>58</v>
      </c>
      <c r="P32" s="26"/>
      <c r="Q32" s="27"/>
      <c r="R32" s="18" t="s">
        <v>96</v>
      </c>
      <c r="S32" s="9"/>
    </row>
    <row r="33" spans="1:25" ht="20.100000000000001" customHeight="1">
      <c r="A33" s="16">
        <v>26</v>
      </c>
      <c r="B33" s="16" t="s">
        <v>13</v>
      </c>
      <c r="C33" s="22" t="s">
        <v>104</v>
      </c>
      <c r="D33" s="23"/>
      <c r="E33" s="24"/>
      <c r="F33" s="18" t="s">
        <v>96</v>
      </c>
      <c r="G33" s="22" t="s">
        <v>104</v>
      </c>
      <c r="H33" s="23"/>
      <c r="I33" s="24"/>
      <c r="J33" s="18" t="s">
        <v>96</v>
      </c>
      <c r="K33" s="22" t="s">
        <v>104</v>
      </c>
      <c r="L33" s="23"/>
      <c r="M33" s="24"/>
      <c r="N33" s="18" t="s">
        <v>96</v>
      </c>
      <c r="O33" s="22" t="s">
        <v>116</v>
      </c>
      <c r="P33" s="23"/>
      <c r="Q33" s="24"/>
      <c r="R33" s="15" t="s">
        <v>112</v>
      </c>
      <c r="S33" s="9"/>
    </row>
    <row r="34" spans="1:25" ht="20.100000000000001" customHeight="1">
      <c r="A34" s="16">
        <v>27</v>
      </c>
      <c r="B34" s="16" t="s">
        <v>14</v>
      </c>
      <c r="C34" s="25" t="s">
        <v>64</v>
      </c>
      <c r="D34" s="26"/>
      <c r="E34" s="27"/>
      <c r="F34" s="15" t="s">
        <v>37</v>
      </c>
      <c r="G34" s="25" t="s">
        <v>64</v>
      </c>
      <c r="H34" s="26"/>
      <c r="I34" s="27"/>
      <c r="J34" s="15" t="s">
        <v>37</v>
      </c>
      <c r="K34" s="28" t="s">
        <v>99</v>
      </c>
      <c r="L34" s="28"/>
      <c r="M34" s="28"/>
      <c r="N34" s="18" t="s">
        <v>31</v>
      </c>
      <c r="O34" s="28" t="s">
        <v>100</v>
      </c>
      <c r="P34" s="28"/>
      <c r="Q34" s="28"/>
      <c r="R34" s="18" t="s">
        <v>101</v>
      </c>
      <c r="S34" s="9"/>
    </row>
    <row r="35" spans="1:25" ht="20.100000000000001" customHeight="1">
      <c r="A35" s="14">
        <v>28</v>
      </c>
      <c r="B35" s="14" t="s">
        <v>0</v>
      </c>
      <c r="C35" s="19" t="s">
        <v>87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1"/>
      <c r="S35" s="9"/>
    </row>
    <row r="36" spans="1:25" ht="20.100000000000001" customHeight="1">
      <c r="A36" s="14">
        <v>29</v>
      </c>
      <c r="B36" s="14" t="s">
        <v>62</v>
      </c>
      <c r="C36" s="19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1"/>
      <c r="S36" s="9"/>
    </row>
    <row r="37" spans="1:25" ht="20.100000000000001" customHeight="1">
      <c r="A37" s="14">
        <v>30</v>
      </c>
      <c r="B37" s="14" t="s">
        <v>2</v>
      </c>
      <c r="C37" s="19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1"/>
      <c r="S37" s="9"/>
    </row>
    <row r="38" spans="1:25" ht="20.100000000000001" customHeight="1">
      <c r="A38" s="16">
        <v>31</v>
      </c>
      <c r="B38" s="16" t="s">
        <v>63</v>
      </c>
      <c r="C38" s="22" t="s">
        <v>104</v>
      </c>
      <c r="D38" s="23"/>
      <c r="E38" s="24"/>
      <c r="F38" s="15" t="s">
        <v>105</v>
      </c>
      <c r="G38" s="22" t="s">
        <v>104</v>
      </c>
      <c r="H38" s="23"/>
      <c r="I38" s="24"/>
      <c r="J38" s="15" t="s">
        <v>105</v>
      </c>
      <c r="K38" s="22" t="s">
        <v>104</v>
      </c>
      <c r="L38" s="23"/>
      <c r="M38" s="24"/>
      <c r="N38" s="15" t="s">
        <v>106</v>
      </c>
      <c r="O38" s="22" t="s">
        <v>104</v>
      </c>
      <c r="P38" s="23"/>
      <c r="Q38" s="24"/>
      <c r="R38" s="15" t="s">
        <v>105</v>
      </c>
      <c r="S38" s="9"/>
    </row>
    <row r="39" spans="1:25" s="3" customFormat="1" ht="19.5" customHeight="1">
      <c r="A39" s="35" t="s">
        <v>7</v>
      </c>
      <c r="B39" s="38"/>
      <c r="C39" s="36"/>
      <c r="D39" s="70" t="s">
        <v>15</v>
      </c>
      <c r="E39" s="5" t="s">
        <v>16</v>
      </c>
      <c r="F39" s="11" t="s">
        <v>17</v>
      </c>
      <c r="G39" s="5" t="s">
        <v>5</v>
      </c>
      <c r="H39" s="70"/>
      <c r="I39" s="5" t="s">
        <v>16</v>
      </c>
      <c r="J39" s="11" t="s">
        <v>17</v>
      </c>
      <c r="K39" s="5" t="s">
        <v>5</v>
      </c>
      <c r="L39" s="50" t="s">
        <v>18</v>
      </c>
      <c r="M39" s="35" t="s">
        <v>6</v>
      </c>
      <c r="N39" s="38"/>
      <c r="O39" s="38"/>
      <c r="P39" s="36"/>
      <c r="Q39" s="37" t="s">
        <v>19</v>
      </c>
      <c r="R39" s="37"/>
    </row>
    <row r="40" spans="1:25">
      <c r="A40" s="39" t="s">
        <v>47</v>
      </c>
      <c r="B40" s="40"/>
      <c r="C40" s="41"/>
      <c r="D40" s="70"/>
      <c r="E40" s="5"/>
      <c r="F40" s="5" t="s">
        <v>20</v>
      </c>
      <c r="G40" s="5">
        <f>(COUNTIF(F9:F38,"A")*2)+(COUNTIF(J9:J38,"A")*2)+(COUNTIF(N9:N38,"A")*2)+(COUNTIF(R9:R38,"A")*2)</f>
        <v>0</v>
      </c>
      <c r="H40" s="70"/>
      <c r="I40" s="5" t="s">
        <v>50</v>
      </c>
      <c r="J40" s="5" t="s">
        <v>21</v>
      </c>
      <c r="K40" s="5">
        <f>(COUNTIF(F8:F38,"M")*2)+(COUNTIF(J8:J38,"M")*2)+(COUNTIF(N8:N38,"M")*2)+(COUNTIF(R8:R38,"M")*2)</f>
        <v>2</v>
      </c>
      <c r="L40" s="51"/>
      <c r="M40" s="32" t="s">
        <v>81</v>
      </c>
      <c r="N40" s="33"/>
      <c r="O40" s="33"/>
      <c r="P40" s="34"/>
      <c r="Q40" s="48" t="s">
        <v>59</v>
      </c>
      <c r="R40" s="49"/>
      <c r="W40" s="12"/>
    </row>
    <row r="41" spans="1:25">
      <c r="A41" s="42"/>
      <c r="B41" s="43"/>
      <c r="C41" s="44"/>
      <c r="D41" s="70"/>
      <c r="E41" s="5"/>
      <c r="F41" s="5" t="s">
        <v>22</v>
      </c>
      <c r="G41" s="5">
        <f>(COUNTIF(F9:F38,"B")*2)+(COUNTIF(J9:J38,"B")*2)+(COUNTIF(N9:N38,"B")*2)+(COUNTIF(R9:R38,"B")*2)</f>
        <v>0</v>
      </c>
      <c r="H41" s="70"/>
      <c r="I41" s="5"/>
      <c r="J41" s="5" t="s">
        <v>23</v>
      </c>
      <c r="K41" s="5">
        <f>(COUNTIF(F8:F38,"N")*2)+(COUNTIF(J8:J38,"N")*2)+(COUNTIF(N8:N38,"N")*2)+(COUNTIF(R8:R38,"N")*2)</f>
        <v>0</v>
      </c>
      <c r="L41" s="51"/>
      <c r="M41" s="32" t="s">
        <v>58</v>
      </c>
      <c r="N41" s="33"/>
      <c r="O41" s="33"/>
      <c r="P41" s="34"/>
      <c r="Q41" s="48" t="s">
        <v>60</v>
      </c>
      <c r="R41" s="49"/>
      <c r="W41" s="12"/>
    </row>
    <row r="42" spans="1:25">
      <c r="A42" s="45"/>
      <c r="B42" s="46"/>
      <c r="C42" s="47"/>
      <c r="D42" s="70"/>
      <c r="E42" s="5"/>
      <c r="F42" s="5" t="s">
        <v>24</v>
      </c>
      <c r="G42" s="5">
        <f>(COUNTIF(F9:F38,"C")*2)+(COUNTIF(J9:J38,"C")*2)+(COUNTIF(N9:N38,"C")*2)+(COUNTIF(R9:R38,"C")*2)</f>
        <v>0</v>
      </c>
      <c r="H42" s="70"/>
      <c r="I42" s="17" t="s">
        <v>86</v>
      </c>
      <c r="J42" s="5" t="s">
        <v>25</v>
      </c>
      <c r="K42" s="5">
        <v>1</v>
      </c>
      <c r="L42" s="51"/>
      <c r="M42" s="32" t="s">
        <v>82</v>
      </c>
      <c r="N42" s="33"/>
      <c r="O42" s="33"/>
      <c r="P42" s="34"/>
      <c r="Q42" s="35" t="s">
        <v>85</v>
      </c>
      <c r="R42" s="36"/>
      <c r="W42" s="12"/>
      <c r="Y42" s="13"/>
    </row>
    <row r="43" spans="1:25">
      <c r="A43" s="35" t="s">
        <v>8</v>
      </c>
      <c r="B43" s="38"/>
      <c r="C43" s="36"/>
      <c r="D43" s="70"/>
      <c r="E43" s="5"/>
      <c r="F43" s="5" t="s">
        <v>26</v>
      </c>
      <c r="G43" s="5">
        <f>(COUNTIF($F$8:$F$38,"D")*2)+(COUNTIF($J$8:$J$38,"D")*2)+(COUNTIF($N$8:$N$38,"D")*2)+(COUNTIF($R$8:$R$38,"D")*2)</f>
        <v>0</v>
      </c>
      <c r="H43" s="70"/>
      <c r="I43" s="5" t="s">
        <v>54</v>
      </c>
      <c r="J43" s="5" t="s">
        <v>27</v>
      </c>
      <c r="K43" s="5">
        <f>(COUNTIF(F9:F38,"P")*2)+(COUNTIF(J9:J38,"P")*2)+(COUNTIF(N9:N38,"P")*2)+(COUNTIF(R9:R38,"P")*2)</f>
        <v>0</v>
      </c>
      <c r="L43" s="51"/>
      <c r="M43" s="32" t="s">
        <v>65</v>
      </c>
      <c r="N43" s="33"/>
      <c r="O43" s="33"/>
      <c r="P43" s="34"/>
      <c r="Q43" s="35" t="s">
        <v>120</v>
      </c>
      <c r="R43" s="36"/>
      <c r="W43" s="12"/>
    </row>
    <row r="44" spans="1:25">
      <c r="A44" s="39" t="s">
        <v>52</v>
      </c>
      <c r="B44" s="40"/>
      <c r="C44" s="41"/>
      <c r="D44" s="70"/>
      <c r="F44" s="5" t="s">
        <v>28</v>
      </c>
      <c r="G44" s="5">
        <f>(COUNTIF(F8:F38,"E")*2)+(COUNTIF(J8:J38,"E")*2)+(COUNTIF(N8:N38,"E")*2)+(COUNTIF(R8:R38,"E")*2)</f>
        <v>0</v>
      </c>
      <c r="H44" s="70"/>
      <c r="I44" s="5"/>
      <c r="J44" s="5" t="s">
        <v>29</v>
      </c>
      <c r="K44" s="5">
        <f>(COUNTIF(F9:F38,"Q")*2)+(COUNTIF(J9:J38,"Q")*2)+(COUNTIF(N9:N38,"Q")*2)+(COUNTIF(R9:R38,"Q")*2)</f>
        <v>0</v>
      </c>
      <c r="L44" s="51"/>
      <c r="M44" s="32" t="s">
        <v>83</v>
      </c>
      <c r="N44" s="33"/>
      <c r="O44" s="33"/>
      <c r="P44" s="34"/>
      <c r="Q44" s="35" t="s">
        <v>121</v>
      </c>
      <c r="R44" s="36"/>
      <c r="W44" s="12"/>
    </row>
    <row r="45" spans="1:25">
      <c r="A45" s="42"/>
      <c r="B45" s="43"/>
      <c r="C45" s="44"/>
      <c r="D45" s="70"/>
      <c r="E45" s="5"/>
      <c r="F45" s="5" t="s">
        <v>30</v>
      </c>
      <c r="G45" s="5">
        <f>(COUNTIF(F9:F38,"F")*2)+(COUNTIF(J9:J38,"F")*2)+(COUNTIF(N9:N38,"F")*2)+(COUNTIF(R9:R38,"F")*2)</f>
        <v>0</v>
      </c>
      <c r="H45" s="70"/>
      <c r="I45" s="5" t="s">
        <v>57</v>
      </c>
      <c r="J45" s="5" t="s">
        <v>31</v>
      </c>
      <c r="K45" s="5">
        <v>5</v>
      </c>
      <c r="L45" s="51"/>
      <c r="M45" s="32" t="s">
        <v>67</v>
      </c>
      <c r="N45" s="33"/>
      <c r="O45" s="33"/>
      <c r="P45" s="34"/>
      <c r="Q45" s="35" t="s">
        <v>123</v>
      </c>
      <c r="R45" s="36"/>
      <c r="W45" s="12"/>
    </row>
    <row r="46" spans="1:25">
      <c r="A46" s="45"/>
      <c r="B46" s="46"/>
      <c r="C46" s="47"/>
      <c r="D46" s="70"/>
      <c r="E46" s="5"/>
      <c r="F46" s="5" t="s">
        <v>32</v>
      </c>
      <c r="G46" s="5">
        <f>(COUNTIF(F9:F38,"G")*2)+(COUNTIF(J9:J38,"G")*2)+(COUNTIF(N9:N38,"G")*2)+(COUNTIF(R9:R38,"G")*2)</f>
        <v>0</v>
      </c>
      <c r="H46" s="70"/>
      <c r="I46" s="5" t="s">
        <v>61</v>
      </c>
      <c r="J46" s="5" t="s">
        <v>33</v>
      </c>
      <c r="K46" s="5">
        <f>(COUNTIF(F9:F38,"S")*2)+(COUNTIF(J9:J38,"S")*2)+(COUNTIF(N9:N38,"S")*2)+(COUNTIF(R9:R38,"S")*2)</f>
        <v>2</v>
      </c>
      <c r="L46" s="51"/>
      <c r="M46" s="32" t="s">
        <v>84</v>
      </c>
      <c r="N46" s="33"/>
      <c r="O46" s="33"/>
      <c r="P46" s="34"/>
      <c r="Q46" s="35" t="s">
        <v>122</v>
      </c>
      <c r="R46" s="36"/>
      <c r="W46" s="12"/>
    </row>
    <row r="47" spans="1:25">
      <c r="A47" s="35" t="s">
        <v>51</v>
      </c>
      <c r="B47" s="38"/>
      <c r="C47" s="36"/>
      <c r="D47" s="70"/>
      <c r="E47" s="5"/>
      <c r="F47" s="5" t="s">
        <v>34</v>
      </c>
      <c r="G47" s="5">
        <f>(COUNTIF(F9:F38,"H")*2)+(COUNTIF(J9:J38,"H")*2)+(COUNTIF(N9:N38,"H")*2)+(COUNTIF(R9:R38,"H")*2)</f>
        <v>0</v>
      </c>
      <c r="H47" s="70"/>
      <c r="I47" s="5"/>
      <c r="J47" s="5" t="s">
        <v>35</v>
      </c>
      <c r="K47" s="5">
        <f>(COUNTIF($F$9:$F$38,"T")*2)+(COUNTIF($J$9:$J$38,"T")*2)+(COUNTIF($N$9:$N$38,"T")*2)+(COUNTIF($R$9:$R$38,"T")*2)</f>
        <v>0</v>
      </c>
      <c r="L47" s="51"/>
      <c r="M47" s="32" t="s">
        <v>68</v>
      </c>
      <c r="N47" s="33"/>
      <c r="O47" s="33"/>
      <c r="P47" s="34"/>
      <c r="Q47" s="35" t="s">
        <v>118</v>
      </c>
      <c r="R47" s="36"/>
      <c r="W47" s="12"/>
      <c r="Y47" s="13"/>
    </row>
    <row r="48" spans="1:25">
      <c r="A48" s="39"/>
      <c r="B48" s="40"/>
      <c r="C48" s="41"/>
      <c r="D48" s="70"/>
      <c r="E48" s="10" t="s">
        <v>47</v>
      </c>
      <c r="F48" s="5" t="s">
        <v>36</v>
      </c>
      <c r="G48" s="5">
        <f>(COUNTIF($F$8:$F$38,"I")*2)+(COUNTIF($J$8:$J$38,"I")*2)+(COUNTIF($N$8:$N$38,"I")*2)+(COUNTIF($R$8:$R$38,"I")*2)</f>
        <v>38</v>
      </c>
      <c r="H48" s="70"/>
      <c r="I48" s="5" t="s">
        <v>53</v>
      </c>
      <c r="J48" s="5" t="s">
        <v>37</v>
      </c>
      <c r="K48" s="5">
        <f>(COUNTIF($F$8:$F$38,"U")*2)+(COUNTIF($J$8:$J$38,"U")*2)+(COUNTIF($N$8:$N$38,"U")*2)+(COUNTIF($R$8:$R$38,"U")*2)</f>
        <v>4</v>
      </c>
      <c r="L48" s="51"/>
      <c r="M48" s="32" t="s">
        <v>117</v>
      </c>
      <c r="N48" s="33"/>
      <c r="O48" s="33"/>
      <c r="P48" s="34"/>
      <c r="Q48" s="37" t="s">
        <v>119</v>
      </c>
      <c r="R48" s="37"/>
      <c r="W48" s="12"/>
    </row>
    <row r="49" spans="1:23">
      <c r="A49" s="42"/>
      <c r="B49" s="43"/>
      <c r="C49" s="44"/>
      <c r="D49" s="70"/>
      <c r="E49" s="5" t="s">
        <v>46</v>
      </c>
      <c r="F49" s="5" t="s">
        <v>38</v>
      </c>
      <c r="G49" s="5">
        <f>(COUNTIF($F$8:$F$38,"J")*2)+(COUNTIF($J$8:$J$38,"J")*2)+(COUNTIF($N$8:$N$38,"J")*2)+(COUNTIF($R$8:$R$38,"J")*2)</f>
        <v>16</v>
      </c>
      <c r="H49" s="70"/>
      <c r="I49" s="5" t="s">
        <v>56</v>
      </c>
      <c r="J49" s="5" t="s">
        <v>39</v>
      </c>
      <c r="K49" s="5">
        <f>(COUNTIF($F$8:$F$39,"V")*2)+(COUNTIF($J$8:$J$39,"V")*2)+(COUNTIF($N$8:$N$39,"V")*2)+(COUNTIF($R$8:$R$39,"V")*2)</f>
        <v>8</v>
      </c>
      <c r="L49" s="51"/>
      <c r="M49" s="32"/>
      <c r="N49" s="33"/>
      <c r="O49" s="33"/>
      <c r="P49" s="34"/>
      <c r="Q49" s="37"/>
      <c r="R49" s="37"/>
      <c r="W49" s="12"/>
    </row>
    <row r="50" spans="1:23">
      <c r="A50" s="42"/>
      <c r="B50" s="43"/>
      <c r="C50" s="44"/>
      <c r="D50" s="70"/>
      <c r="E50" s="5"/>
      <c r="F50" s="5" t="s">
        <v>40</v>
      </c>
      <c r="G50" s="5">
        <f>(COUNTIF(F9:F38,"K")*2)+(COUNTIF(J9:J38,"K")*2)+(COUNTIF(N9:N38,"K")*2)+(COUNTIF(R9:R38,"K")*2)</f>
        <v>0</v>
      </c>
      <c r="H50" s="70"/>
      <c r="I50" s="5" t="s">
        <v>66</v>
      </c>
      <c r="J50" s="5" t="s">
        <v>41</v>
      </c>
      <c r="K50" s="5">
        <f>(COUNTIF(F9:F38,"W")*2)+(COUNTIF(J9:J38,"W")*2)+(COUNTIF(N9:N38,"W")*2)+(COUNTIF(R9:R38,"W")*2)</f>
        <v>0</v>
      </c>
      <c r="L50" s="51"/>
      <c r="M50" s="32"/>
      <c r="N50" s="33"/>
      <c r="O50" s="33"/>
      <c r="P50" s="34"/>
      <c r="Q50" s="37"/>
      <c r="R50" s="37"/>
    </row>
    <row r="51" spans="1:23">
      <c r="A51" s="45"/>
      <c r="B51" s="46"/>
      <c r="C51" s="47"/>
      <c r="D51" s="70"/>
      <c r="E51" s="5"/>
      <c r="F51" s="5" t="s">
        <v>42</v>
      </c>
      <c r="G51" s="5">
        <f>(COUNTIF(F9:F38,"L")*2)+(COUNTIF(J9:J38,"L")*2)+(COUNTIF(N9:N38,"L")*2)+(COUNTIF(R9:R38,"L")*2)</f>
        <v>0</v>
      </c>
      <c r="H51" s="70"/>
      <c r="I51" s="5"/>
      <c r="J51" s="5" t="s">
        <v>43</v>
      </c>
      <c r="K51" s="5">
        <f>(COUNTIF(F9:F38,"X")*2)+(COUNTIF(J9:J38,"X")*2)+(COUNTIF(N9:N38,"X")*2)+(COUNTIF(R9:R38,"X")*2)</f>
        <v>0</v>
      </c>
      <c r="L51" s="52"/>
      <c r="M51" s="32"/>
      <c r="N51" s="33"/>
      <c r="O51" s="33"/>
      <c r="P51" s="34"/>
      <c r="Q51" s="37"/>
      <c r="R51" s="37"/>
    </row>
  </sheetData>
  <mergeCells count="146">
    <mergeCell ref="C33:E33"/>
    <mergeCell ref="G33:I33"/>
    <mergeCell ref="K33:M33"/>
    <mergeCell ref="O33:Q33"/>
    <mergeCell ref="C24:I24"/>
    <mergeCell ref="A48:C51"/>
    <mergeCell ref="A44:C46"/>
    <mergeCell ref="A43:C43"/>
    <mergeCell ref="Q44:R44"/>
    <mergeCell ref="C37:R37"/>
    <mergeCell ref="M40:P40"/>
    <mergeCell ref="M41:P41"/>
    <mergeCell ref="M42:P42"/>
    <mergeCell ref="M43:P43"/>
    <mergeCell ref="D39:D51"/>
    <mergeCell ref="M49:P49"/>
    <mergeCell ref="H39:H51"/>
    <mergeCell ref="M44:P44"/>
    <mergeCell ref="M45:P45"/>
    <mergeCell ref="M46:P46"/>
    <mergeCell ref="Q47:R47"/>
    <mergeCell ref="Q42:R42"/>
    <mergeCell ref="Q51:R51"/>
    <mergeCell ref="Q48:R48"/>
    <mergeCell ref="A1:R1"/>
    <mergeCell ref="A2:R2"/>
    <mergeCell ref="A3:R3"/>
    <mergeCell ref="A4:B4"/>
    <mergeCell ref="C4:D4"/>
    <mergeCell ref="E4:F4"/>
    <mergeCell ref="G4:H4"/>
    <mergeCell ref="I4:J4"/>
    <mergeCell ref="K4:L4"/>
    <mergeCell ref="M4:N4"/>
    <mergeCell ref="R5:R7"/>
    <mergeCell ref="A6:B6"/>
    <mergeCell ref="A7:B7"/>
    <mergeCell ref="O4:P4"/>
    <mergeCell ref="Q4:R4"/>
    <mergeCell ref="A5:B5"/>
    <mergeCell ref="D5:D7"/>
    <mergeCell ref="F5:F7"/>
    <mergeCell ref="H5:H7"/>
    <mergeCell ref="J5:J7"/>
    <mergeCell ref="L5:L7"/>
    <mergeCell ref="N5:N7"/>
    <mergeCell ref="P5:P7"/>
    <mergeCell ref="C8:R8"/>
    <mergeCell ref="C12:E12"/>
    <mergeCell ref="C31:E31"/>
    <mergeCell ref="G31:I31"/>
    <mergeCell ref="K31:M31"/>
    <mergeCell ref="O31:Q31"/>
    <mergeCell ref="A47:C47"/>
    <mergeCell ref="A40:C42"/>
    <mergeCell ref="Q40:R40"/>
    <mergeCell ref="Q41:R41"/>
    <mergeCell ref="A39:C39"/>
    <mergeCell ref="Q39:R39"/>
    <mergeCell ref="M39:P39"/>
    <mergeCell ref="C19:E19"/>
    <mergeCell ref="G19:I19"/>
    <mergeCell ref="G11:I11"/>
    <mergeCell ref="K11:M11"/>
    <mergeCell ref="O11:Q11"/>
    <mergeCell ref="K10:M10"/>
    <mergeCell ref="K12:M12"/>
    <mergeCell ref="O12:Q12"/>
    <mergeCell ref="K19:M19"/>
    <mergeCell ref="O19:Q19"/>
    <mergeCell ref="L39:L51"/>
    <mergeCell ref="M50:P50"/>
    <mergeCell ref="M51:P51"/>
    <mergeCell ref="Q45:R45"/>
    <mergeCell ref="Q46:R46"/>
    <mergeCell ref="Q43:R43"/>
    <mergeCell ref="M47:P47"/>
    <mergeCell ref="M48:P48"/>
    <mergeCell ref="Q49:R49"/>
    <mergeCell ref="Q50:R50"/>
    <mergeCell ref="C23:R23"/>
    <mergeCell ref="C25:E25"/>
    <mergeCell ref="G25:I25"/>
    <mergeCell ref="K25:M25"/>
    <mergeCell ref="O25:Q25"/>
    <mergeCell ref="C26:E26"/>
    <mergeCell ref="G26:I26"/>
    <mergeCell ref="K26:M26"/>
    <mergeCell ref="O26:Q26"/>
    <mergeCell ref="C15:R15"/>
    <mergeCell ref="C17:E17"/>
    <mergeCell ref="G17:I17"/>
    <mergeCell ref="K17:M17"/>
    <mergeCell ref="O17:Q17"/>
    <mergeCell ref="C18:E18"/>
    <mergeCell ref="G18:I18"/>
    <mergeCell ref="K18:M18"/>
    <mergeCell ref="O18:Q18"/>
    <mergeCell ref="C13:E13"/>
    <mergeCell ref="G13:I13"/>
    <mergeCell ref="K13:M13"/>
    <mergeCell ref="O13:Q13"/>
    <mergeCell ref="O10:Q10"/>
    <mergeCell ref="C11:E11"/>
    <mergeCell ref="C22:R22"/>
    <mergeCell ref="C9:R9"/>
    <mergeCell ref="C14:E14"/>
    <mergeCell ref="G14:I14"/>
    <mergeCell ref="K14:M14"/>
    <mergeCell ref="O14:Q14"/>
    <mergeCell ref="C16:R16"/>
    <mergeCell ref="C20:E20"/>
    <mergeCell ref="G20:I20"/>
    <mergeCell ref="K20:M20"/>
    <mergeCell ref="O20:Q20"/>
    <mergeCell ref="C21:E21"/>
    <mergeCell ref="G21:I21"/>
    <mergeCell ref="K21:M21"/>
    <mergeCell ref="O21:Q21"/>
    <mergeCell ref="C10:E10"/>
    <mergeCell ref="G10:I10"/>
    <mergeCell ref="G12:I12"/>
    <mergeCell ref="C36:R36"/>
    <mergeCell ref="C38:E38"/>
    <mergeCell ref="G38:I38"/>
    <mergeCell ref="K38:M38"/>
    <mergeCell ref="O38:Q38"/>
    <mergeCell ref="C35:R35"/>
    <mergeCell ref="C27:E27"/>
    <mergeCell ref="G27:I27"/>
    <mergeCell ref="K27:M27"/>
    <mergeCell ref="O27:Q27"/>
    <mergeCell ref="C28:E28"/>
    <mergeCell ref="G28:I28"/>
    <mergeCell ref="K28:M28"/>
    <mergeCell ref="O28:Q28"/>
    <mergeCell ref="C34:E34"/>
    <mergeCell ref="G34:I34"/>
    <mergeCell ref="K34:M34"/>
    <mergeCell ref="O34:Q34"/>
    <mergeCell ref="C30:R30"/>
    <mergeCell ref="C32:E32"/>
    <mergeCell ref="G32:I32"/>
    <mergeCell ref="K32:M32"/>
    <mergeCell ref="O32:Q32"/>
    <mergeCell ref="C29:R29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77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115.8</vt:lpstr>
      <vt:lpstr>'115.8'!Print_Area</vt:lpstr>
    </vt:vector>
  </TitlesOfParts>
  <Company>CMCS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</dc:creator>
  <cp:lastModifiedBy>user</cp:lastModifiedBy>
  <cp:lastPrinted>2026-08-17T02:57:20Z</cp:lastPrinted>
  <dcterms:created xsi:type="dcterms:W3CDTF">2004-11-09T07:37:33Z</dcterms:created>
  <dcterms:modified xsi:type="dcterms:W3CDTF">2026-08-17T23:31:13Z</dcterms:modified>
</cp:coreProperties>
</file>